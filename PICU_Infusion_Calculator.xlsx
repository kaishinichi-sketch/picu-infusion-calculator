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31dc8cddc123270/Desktop/"/>
    </mc:Choice>
  </mc:AlternateContent>
  <xr:revisionPtr revIDLastSave="0" documentId="14_{91E94A42-ED12-4443-94D8-1CB2D83A5F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ICU Infusion Calculator" sheetId="4" r:id="rId1"/>
    <sheet name="Units" sheetId="2" state="hidden" r:id="rId2"/>
    <sheet name="Formulary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F22" i="4"/>
  <c r="E21" i="4"/>
  <c r="F21" i="4"/>
  <c r="C13" i="4"/>
  <c r="C12" i="4"/>
  <c r="C11" i="4"/>
  <c r="C10" i="4"/>
  <c r="C8" i="4"/>
  <c r="C19" i="4" s="1"/>
  <c r="C16" i="4" l="1"/>
  <c r="C14" i="4"/>
  <c r="C20" i="4" s="1"/>
  <c r="C17" i="4" l="1"/>
  <c r="C22" i="4" s="1"/>
</calcChain>
</file>

<file path=xl/sharedStrings.xml><?xml version="1.0" encoding="utf-8"?>
<sst xmlns="http://schemas.openxmlformats.org/spreadsheetml/2006/main" count="136" uniqueCount="101">
  <si>
    <t>Allowed Dose Units</t>
  </si>
  <si>
    <t>mg/hr</t>
  </si>
  <si>
    <t>mg/kg/hr</t>
  </si>
  <si>
    <t>mcg/kg/hr</t>
  </si>
  <si>
    <t>mcg/kg/min</t>
  </si>
  <si>
    <t>unit/kg/hr</t>
  </si>
  <si>
    <t>Drug</t>
  </si>
  <si>
    <t>Category</t>
  </si>
  <si>
    <t>Std_Amount_mg</t>
  </si>
  <si>
    <t>Std_Volume_mL</t>
  </si>
  <si>
    <t>Std_Final_mL</t>
  </si>
  <si>
    <t>Std_Diluent</t>
  </si>
  <si>
    <t>Max_Amount_mg</t>
  </si>
  <si>
    <t>Max_Volume_mL</t>
  </si>
  <si>
    <t>Max_Final_mL</t>
  </si>
  <si>
    <t>Max_Diluent</t>
  </si>
  <si>
    <t>Dose_Unit</t>
  </si>
  <si>
    <t>StockConc_mg_mL</t>
  </si>
  <si>
    <t>NS</t>
  </si>
  <si>
    <t>Concentration Type (Standard/Maximum)</t>
  </si>
  <si>
    <t>Ordered dose</t>
  </si>
  <si>
    <t>Dose Unit</t>
  </si>
  <si>
    <t>Final Volume (mL)</t>
  </si>
  <si>
    <t>Diluent</t>
  </si>
  <si>
    <t>Resulting Conc (mg/mL)</t>
  </si>
  <si>
    <t>Stock to Draw (mL)</t>
  </si>
  <si>
    <t>Diluent to Add (mL)</t>
  </si>
  <si>
    <t>Inotrope/Vasopressor</t>
  </si>
  <si>
    <t>Inotrope/adrenergic agonist</t>
  </si>
  <si>
    <t>Inotrope</t>
  </si>
  <si>
    <t>Mixed α1 and β blocker</t>
  </si>
  <si>
    <t>Opioid analgesic (Schedule II)</t>
  </si>
  <si>
    <t>Sedative/hypnotic</t>
  </si>
  <si>
    <t>NMDA receptor antagonist</t>
  </si>
  <si>
    <t>Non-depolarizing neuromuscular blocker (paralytic)</t>
  </si>
  <si>
    <t>Alpha-2 adrenergic agonist</t>
  </si>
  <si>
    <t>Loop Diuretics</t>
  </si>
  <si>
    <t>Anti-coagulant</t>
  </si>
  <si>
    <t>Pancreatic hormone</t>
  </si>
  <si>
    <t>(NS,1/2NS)</t>
  </si>
  <si>
    <r>
      <rPr>
        <b/>
        <sz val="12"/>
        <rFont val="Calibri"/>
        <family val="2"/>
      </rPr>
      <t>PICU INFUSION CALCULATOR</t>
    </r>
    <r>
      <rPr>
        <b/>
        <sz val="16"/>
        <rFont val="Calibri"/>
        <family val="2"/>
      </rPr>
      <t xml:space="preserve"> </t>
    </r>
  </si>
  <si>
    <t>Weight (Kg)</t>
  </si>
  <si>
    <r>
      <rPr>
        <b/>
        <sz val="11"/>
        <color theme="1"/>
        <rFont val="Arial Narrow"/>
        <family val="2"/>
      </rP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 xml:space="preserve">1/2NS,)  </t>
    </r>
    <r>
      <rPr>
        <sz val="11"/>
        <color theme="1"/>
        <rFont val="Arial Narrow"/>
        <family val="2"/>
      </rPr>
      <t xml:space="preserve"> *</t>
    </r>
    <r>
      <rPr>
        <i/>
        <sz val="8"/>
        <color theme="1"/>
        <rFont val="Arial Narrow"/>
        <family val="2"/>
      </rPr>
      <t>NS alone may Increase decomposition rate*</t>
    </r>
  </si>
  <si>
    <t xml:space="preserve">      </t>
  </si>
  <si>
    <t xml:space="preserve"> </t>
  </si>
  <si>
    <t>0.1mcg/kg/min (0.05-2mcg/kg/min)</t>
  </si>
  <si>
    <t>VESICANT, Administer through large vein or Central line, Protect from light</t>
  </si>
  <si>
    <t xml:space="preserve">                </t>
  </si>
  <si>
    <t xml:space="preserve">                       </t>
  </si>
  <si>
    <t xml:space="preserve">                                               </t>
  </si>
  <si>
    <t xml:space="preserve">                                          </t>
  </si>
  <si>
    <t xml:space="preserve">        </t>
  </si>
  <si>
    <t>CREATED BY: KATHERINE CASANDRA STA. ANA RN, MSN</t>
  </si>
  <si>
    <r>
      <t xml:space="preserve">Stock Conc (mg/mL)                           </t>
    </r>
    <r>
      <rPr>
        <b/>
        <i/>
        <sz val="6"/>
        <color theme="3"/>
        <rFont val="Calibri"/>
        <family val="2"/>
      </rPr>
      <t>if Heparin,Insulin,Vasopressin (Units/ml)</t>
    </r>
  </si>
  <si>
    <r>
      <t xml:space="preserve">Amount (mg)                                        </t>
    </r>
    <r>
      <rPr>
        <b/>
        <sz val="6"/>
        <color theme="3"/>
        <rFont val="Calibri"/>
        <family val="2"/>
      </rPr>
      <t>if Heparin, Insulin, Vasopressin (Units)</t>
    </r>
  </si>
  <si>
    <t>Infusion Rate (mL/hr)</t>
  </si>
  <si>
    <t>ENTER THE INFORMATION</t>
  </si>
  <si>
    <t>How to Prepare the Infusion:</t>
  </si>
  <si>
    <t>Start at 0.05-0.1 mcg/kg/min, titrate to desire effect (0.05-2mcg/kg/min)</t>
  </si>
  <si>
    <t>Norepinephrine (1mg/ml)4ml</t>
  </si>
  <si>
    <r>
      <rPr>
        <b/>
        <sz val="11"/>
        <color theme="1"/>
        <rFont val="Arial Narrow"/>
        <family val="2"/>
      </rP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W,D</t>
    </r>
    <r>
      <rPr>
        <b/>
        <sz val="8"/>
        <color theme="1"/>
        <rFont val="Arial Narrow"/>
        <family val="2"/>
      </rPr>
      <t>10</t>
    </r>
    <r>
      <rPr>
        <b/>
        <sz val="11"/>
        <color theme="1"/>
        <rFont val="Arial Narrow"/>
        <family val="2"/>
      </rPr>
      <t>W,NS,D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1/2NS)</t>
    </r>
  </si>
  <si>
    <r>
      <rPr>
        <b/>
        <sz val="6"/>
        <color theme="1"/>
        <rFont val="Calibri"/>
        <family val="2"/>
        <scheme val="minor"/>
      </rPr>
      <t>Maximum concentration</t>
    </r>
    <r>
      <rPr>
        <sz val="6"/>
        <color theme="1"/>
        <rFont val="Calibri"/>
        <family val="2"/>
        <scheme val="minor"/>
      </rPr>
      <t xml:space="preserve"> Peripheral line: 80mg/25ml, Central line: 120mg/25ml.</t>
    </r>
  </si>
  <si>
    <r>
      <t xml:space="preserve">Epinephrine </t>
    </r>
    <r>
      <rPr>
        <b/>
        <sz val="8"/>
        <color theme="1"/>
        <rFont val="Arial Narrow"/>
        <family val="2"/>
      </rPr>
      <t>(1:1000) (1mg/ml)1ml</t>
    </r>
  </si>
  <si>
    <r>
      <t xml:space="preserve">Norepinephrine </t>
    </r>
    <r>
      <rPr>
        <b/>
        <sz val="8"/>
        <color theme="1"/>
        <rFont val="Arial Narrow"/>
        <family val="2"/>
      </rPr>
      <t>(1mg/ml)4ml</t>
    </r>
  </si>
  <si>
    <r>
      <t xml:space="preserve">Dopamine </t>
    </r>
    <r>
      <rPr>
        <b/>
        <sz val="8"/>
        <color theme="1"/>
        <rFont val="Arial Narrow"/>
        <family val="2"/>
      </rPr>
      <t>(40mg/ml)5ml</t>
    </r>
  </si>
  <si>
    <r>
      <t xml:space="preserve">Labetalol </t>
    </r>
    <r>
      <rPr>
        <b/>
        <sz val="8"/>
        <color theme="1"/>
        <rFont val="Arial Narrow"/>
        <family val="2"/>
      </rPr>
      <t>(5mg/ml)20ml</t>
    </r>
  </si>
  <si>
    <r>
      <rPr>
        <b/>
        <sz val="11"/>
        <color theme="1"/>
        <rFont val="Arial Narrow"/>
        <family val="2"/>
      </rP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1/2NS)</t>
    </r>
  </si>
  <si>
    <t>Protect from light</t>
  </si>
  <si>
    <t>1mg/kg/hr (0.5-3mg/kg/hr)</t>
  </si>
  <si>
    <r>
      <t xml:space="preserve">Fentanyl </t>
    </r>
    <r>
      <rPr>
        <b/>
        <sz val="8"/>
        <color theme="1"/>
        <rFont val="Arial Narrow"/>
        <family val="2"/>
      </rPr>
      <t>(50mcg/ml)10ml</t>
    </r>
  </si>
  <si>
    <t>1-2mcg/kg/hr (2 to 20mcg/kg/hr)</t>
  </si>
  <si>
    <r>
      <t xml:space="preserve">Midazolam </t>
    </r>
    <r>
      <rPr>
        <b/>
        <sz val="8"/>
        <color theme="1"/>
        <rFont val="Arial Narrow"/>
        <family val="2"/>
      </rPr>
      <t>(5mg/ml)3ml</t>
    </r>
  </si>
  <si>
    <r>
      <rPr>
        <b/>
        <sz val="6"/>
        <color theme="1"/>
        <rFont val="Calibri"/>
        <family val="2"/>
        <scheme val="minor"/>
      </rPr>
      <t xml:space="preserve">Sedation for mechanical ventilation: </t>
    </r>
    <r>
      <rPr>
        <sz val="6"/>
        <color theme="1"/>
        <rFont val="Calibri"/>
        <family val="2"/>
        <scheme val="minor"/>
      </rPr>
      <t xml:space="preserve">LD 0.05-2mg/kg over 5min then Cont. infusion 0.5-2mcg/kg/min,titrate to desired effect (range: 2-8mcg/kg/min). </t>
    </r>
    <r>
      <rPr>
        <b/>
        <i/>
        <sz val="6"/>
        <color theme="1"/>
        <rFont val="Calibri"/>
        <family val="2"/>
        <scheme val="minor"/>
      </rPr>
      <t xml:space="preserve">No LD for Neonates </t>
    </r>
    <r>
      <rPr>
        <i/>
        <sz val="6"/>
        <color theme="1"/>
        <rFont val="Calibri"/>
        <family val="2"/>
        <scheme val="minor"/>
      </rPr>
      <t>(use smallest possible dose)</t>
    </r>
    <r>
      <rPr>
        <sz val="6"/>
        <color theme="1"/>
        <rFont val="Calibri"/>
        <family val="2"/>
        <scheme val="minor"/>
      </rPr>
      <t xml:space="preserve"> </t>
    </r>
    <r>
      <rPr>
        <b/>
        <sz val="6"/>
        <color theme="1"/>
        <rFont val="Calibri"/>
        <family val="2"/>
        <scheme val="minor"/>
      </rPr>
      <t>Status epilepticus refractory to standard therapy:</t>
    </r>
    <r>
      <rPr>
        <sz val="6"/>
        <color theme="1"/>
        <rFont val="Calibri"/>
        <family val="2"/>
        <scheme val="minor"/>
      </rPr>
      <t xml:space="preserve"> LD 0.15-0.2mg/kg over 2-3 min then Cont. infusion: 1-2 mcg/kg/min, titrate dose up by 1mcg/kg/min q5-15min to control seizure (range 1-18mcg/kg/min) </t>
    </r>
    <r>
      <rPr>
        <i/>
        <sz val="6"/>
        <color theme="1"/>
        <rFont val="Calibri"/>
        <family val="2"/>
        <scheme val="minor"/>
      </rPr>
      <t>(use smallest dose possible)</t>
    </r>
  </si>
  <si>
    <r>
      <t xml:space="preserve">Ketamine </t>
    </r>
    <r>
      <rPr>
        <b/>
        <sz val="8"/>
        <color theme="1"/>
        <rFont val="Arial Narrow"/>
        <family val="2"/>
      </rPr>
      <t>(50mg/ml)10ml</t>
    </r>
  </si>
  <si>
    <t xml:space="preserve">                                                                                            _</t>
  </si>
  <si>
    <t>_</t>
  </si>
  <si>
    <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W,NS)</t>
    </r>
  </si>
  <si>
    <r>
      <t xml:space="preserve">Dose (mg/hr)                                        </t>
    </r>
    <r>
      <rPr>
        <b/>
        <i/>
        <sz val="6"/>
        <color theme="3" tint="0.39997558519241921"/>
        <rFont val="Calibri"/>
        <family val="2"/>
      </rPr>
      <t xml:space="preserve">if Heparin,Insulin,Vasopressin (Units/ml)  </t>
    </r>
    <r>
      <rPr>
        <b/>
        <sz val="6"/>
        <rFont val="Calibri"/>
        <family val="2"/>
      </rPr>
      <t xml:space="preserve">      </t>
    </r>
    <r>
      <rPr>
        <b/>
        <sz val="7"/>
        <rFont val="Calibri"/>
        <family val="2"/>
      </rPr>
      <t xml:space="preserve">                             </t>
    </r>
  </si>
  <si>
    <r>
      <t xml:space="preserve">Cisatracurium </t>
    </r>
    <r>
      <rPr>
        <b/>
        <sz val="8"/>
        <color theme="1"/>
        <rFont val="Arial Narrow"/>
        <family val="2"/>
      </rPr>
      <t>(2 mg/ml)10ml</t>
    </r>
  </si>
  <si>
    <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NS)</t>
    </r>
  </si>
  <si>
    <t>Average starting dose (Dose range)</t>
  </si>
  <si>
    <t>Special consideration</t>
  </si>
  <si>
    <t>3 mcg/kg/min (1-4 mcg/kg/min)</t>
  </si>
  <si>
    <t>LD: 0.5-1 mcg/kg over 10 min Then Cont. infusion: 0.2-0.7 mcg/kg/hr up to max. 1 mcg/kg/hr</t>
  </si>
  <si>
    <r>
      <t xml:space="preserve">Dexmedetomidine (PRECEDEX) </t>
    </r>
    <r>
      <rPr>
        <b/>
        <sz val="8"/>
        <color theme="1"/>
        <rFont val="Arial Narrow"/>
        <family val="2"/>
      </rPr>
      <t>(100mcg/ml) 2ml</t>
    </r>
  </si>
  <si>
    <r>
      <t xml:space="preserve">Dobutamine </t>
    </r>
    <r>
      <rPr>
        <b/>
        <sz val="8"/>
        <color theme="1"/>
        <rFont val="Arial Narrow"/>
        <family val="2"/>
      </rPr>
      <t>(50 mg/ml)5 ml</t>
    </r>
  </si>
  <si>
    <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W,D</t>
    </r>
    <r>
      <rPr>
        <b/>
        <sz val="8"/>
        <color theme="1"/>
        <rFont val="Arial Narrow"/>
        <family val="2"/>
      </rPr>
      <t>10</t>
    </r>
    <r>
      <rPr>
        <b/>
        <sz val="11"/>
        <color theme="1"/>
        <rFont val="Arial Narrow"/>
        <family val="2"/>
      </rPr>
      <t>W,NS,1/2NS,D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1/2NS)</t>
    </r>
  </si>
  <si>
    <t xml:space="preserve">Solutions may exhibit a pink 
color, which is due to slight 
oxidation of the drug, but there 
is no significant loss of potency 
during the reconstituted time 
periods stated above. </t>
  </si>
  <si>
    <t>5 mcg/kg/min 
(2-20 mcg/kg/min)</t>
  </si>
  <si>
    <t>0.1 mg/kg/hr (0.05 - 0.4 mg/kg/hr)</t>
  </si>
  <si>
    <t>- Do not refrigerate - Numerous Y-site in compatibilities - Protect from light</t>
  </si>
  <si>
    <r>
      <rPr>
        <b/>
        <sz val="6"/>
        <color theme="1"/>
        <rFont val="Calibri"/>
        <family val="2"/>
        <scheme val="minor"/>
      </rPr>
      <t xml:space="preserve">Sedation/Analgesia: </t>
    </r>
    <r>
      <rPr>
        <sz val="6"/>
        <color theme="1"/>
        <rFont val="Calibri"/>
        <family val="2"/>
        <scheme val="minor"/>
      </rPr>
      <t>Loding dose: 0.5-1mg/kg over 2-3min Then continuous infusion 5-20mcg/kg/min</t>
    </r>
  </si>
  <si>
    <r>
      <t xml:space="preserve">Furosemide </t>
    </r>
    <r>
      <rPr>
        <b/>
        <sz val="8"/>
        <color theme="1"/>
        <rFont val="Arial Narrow"/>
        <family val="2"/>
      </rPr>
      <t>(10mg/ml) 2ml</t>
    </r>
  </si>
  <si>
    <r>
      <t xml:space="preserve">HEPARIN </t>
    </r>
    <r>
      <rPr>
        <b/>
        <sz val="8"/>
        <color theme="1"/>
        <rFont val="Calibri"/>
        <family val="2"/>
        <scheme val="minor"/>
      </rPr>
      <t>(5000UNITS/1ml)Amp</t>
    </r>
  </si>
  <si>
    <r>
      <t>(D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W,D</t>
    </r>
    <r>
      <rPr>
        <b/>
        <sz val="8"/>
        <color theme="1"/>
        <rFont val="Arial Narrow"/>
        <family val="2"/>
      </rPr>
      <t>10</t>
    </r>
    <r>
      <rPr>
        <b/>
        <sz val="11"/>
        <color theme="1"/>
        <rFont val="Arial Narrow"/>
        <family val="2"/>
      </rPr>
      <t>W,NS,D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NS,D</t>
    </r>
    <r>
      <rPr>
        <b/>
        <sz val="8"/>
        <color theme="1"/>
        <rFont val="Arial Narrow"/>
        <family val="2"/>
      </rPr>
      <t>5</t>
    </r>
    <r>
      <rPr>
        <b/>
        <sz val="11"/>
        <color theme="1"/>
        <rFont val="Arial Narrow"/>
        <family val="2"/>
      </rPr>
      <t>1/2NS)</t>
    </r>
  </si>
  <si>
    <t>Initial loading dose: 75 units/kg over 10 minutes; then initiate maintenance continuous infusion at: 28 units/kg/hour for neonates and infants or 20 units/kg/hour for children and adolescents.</t>
  </si>
  <si>
    <t>- Check aPTT level 4 hrs after loading dose, and 4 hrs after each change in rate. Adjust rate based on aPTT. When aPTT is in target range, check it daily.</t>
  </si>
  <si>
    <r>
      <t xml:space="preserve">Insulin </t>
    </r>
    <r>
      <rPr>
        <b/>
        <sz val="8"/>
        <color theme="1"/>
        <rFont val="Calibri"/>
        <family val="2"/>
        <scheme val="minor"/>
      </rPr>
      <t>(100units/ml) 10ml</t>
    </r>
  </si>
  <si>
    <t>0.1 U/kg/hr (0.05-0.2 U/kg/hr)</t>
  </si>
  <si>
    <t>NS is the default diluent as per Pediatric DKA Guideline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</si>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</sst>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name val="Calibri"/>
      <family val="2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b/>
      <sz val="16"/>
      <name val="Calibri"/>
      <family val="2"/>
    </font>
    <font>
      <sz val="7"/>
      <color theme="1"/>
      <name val="Arial Narrow"/>
      <family val="2"/>
    </font>
    <font>
      <sz val="9"/>
      <color theme="1"/>
      <name val="Calibri"/>
      <family val="2"/>
      <scheme val="minor"/>
    </font>
    <font>
      <b/>
      <i/>
      <sz val="8"/>
      <name val="Calibri"/>
      <family val="2"/>
    </font>
    <font>
      <sz val="7"/>
      <color theme="1"/>
      <name val="Calibri"/>
      <family val="2"/>
      <scheme val="minor"/>
    </font>
    <font>
      <b/>
      <sz val="12"/>
      <name val="Calibri"/>
      <family val="2"/>
    </font>
    <font>
      <b/>
      <sz val="7"/>
      <name val="Calibri"/>
      <family val="2"/>
    </font>
    <font>
      <i/>
      <sz val="8"/>
      <color theme="1"/>
      <name val="Arial Narrow"/>
      <family val="2"/>
    </font>
    <font>
      <b/>
      <sz val="8"/>
      <color theme="1"/>
      <name val="Arial Narrow"/>
      <family val="2"/>
    </font>
    <font>
      <i/>
      <sz val="6"/>
      <color theme="1"/>
      <name val="Calibri"/>
      <family val="2"/>
      <scheme val="minor"/>
    </font>
    <font>
      <b/>
      <i/>
      <sz val="6"/>
      <color theme="3"/>
      <name val="Calibri"/>
      <family val="2"/>
    </font>
    <font>
      <b/>
      <sz val="6"/>
      <color theme="3"/>
      <name val="Calibri"/>
      <family val="2"/>
    </font>
    <font>
      <b/>
      <i/>
      <sz val="6"/>
      <color theme="3" tint="0.39997558519241921"/>
      <name val="Calibri"/>
      <family val="2"/>
    </font>
    <font>
      <b/>
      <sz val="6"/>
      <name val="Calibri"/>
      <family val="2"/>
    </font>
    <font>
      <b/>
      <i/>
      <sz val="7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6"/>
      <color theme="0" tint="-0.34998626667073579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rgb="FFFDE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0" borderId="1" xfId="0" applyFont="1" applyBorder="1" applyAlignment="1" applyProtection="1">
      <alignment wrapText="1"/>
      <protection locked="0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4" xfId="0" applyFont="1" applyBorder="1" applyAlignment="1" applyProtection="1">
      <alignment wrapText="1"/>
      <protection locked="0"/>
    </xf>
    <xf numFmtId="0" fontId="0" fillId="0" borderId="7" xfId="0" applyBorder="1"/>
    <xf numFmtId="0" fontId="3" fillId="0" borderId="9" xfId="0" applyFont="1" applyBorder="1" applyAlignment="1" applyProtection="1">
      <alignment wrapText="1"/>
      <protection locked="0"/>
    </xf>
    <xf numFmtId="0" fontId="4" fillId="0" borderId="10" xfId="0" applyFont="1" applyBorder="1" applyAlignment="1" applyProtection="1">
      <alignment wrapText="1"/>
      <protection locked="0"/>
    </xf>
    <xf numFmtId="0" fontId="0" fillId="0" borderId="10" xfId="0" applyBorder="1"/>
    <xf numFmtId="0" fontId="1" fillId="2" borderId="13" xfId="0" applyFont="1" applyFill="1" applyBorder="1"/>
    <xf numFmtId="0" fontId="1" fillId="2" borderId="12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4" fillId="3" borderId="10" xfId="0" applyFont="1" applyFill="1" applyBorder="1" applyAlignment="1" applyProtection="1">
      <alignment wrapText="1"/>
      <protection locked="0"/>
    </xf>
    <xf numFmtId="0" fontId="4" fillId="3" borderId="1" xfId="0" applyFont="1" applyFill="1" applyBorder="1" applyAlignment="1" applyProtection="1">
      <alignment wrapText="1"/>
      <protection locked="0"/>
    </xf>
    <xf numFmtId="0" fontId="0" fillId="4" borderId="1" xfId="0" applyFill="1" applyBorder="1"/>
    <xf numFmtId="0" fontId="0" fillId="5" borderId="0" xfId="0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0" fillId="5" borderId="0" xfId="0" applyFill="1" applyBorder="1"/>
    <xf numFmtId="0" fontId="0" fillId="5" borderId="16" xfId="0" applyFill="1" applyBorder="1"/>
    <xf numFmtId="0" fontId="0" fillId="5" borderId="18" xfId="0" applyFill="1" applyBorder="1"/>
    <xf numFmtId="0" fontId="0" fillId="5" borderId="19" xfId="0" applyFill="1" applyBorder="1"/>
    <xf numFmtId="0" fontId="0" fillId="5" borderId="15" xfId="0" applyFill="1" applyBorder="1"/>
    <xf numFmtId="0" fontId="0" fillId="5" borderId="0" xfId="0" applyFill="1" applyBorder="1" applyAlignment="1">
      <alignment wrapText="1"/>
    </xf>
    <xf numFmtId="0" fontId="0" fillId="5" borderId="17" xfId="0" applyFill="1" applyBorder="1"/>
    <xf numFmtId="0" fontId="0" fillId="5" borderId="18" xfId="0" applyFill="1" applyBorder="1" applyAlignment="1">
      <alignment wrapText="1"/>
    </xf>
    <xf numFmtId="0" fontId="10" fillId="5" borderId="0" xfId="0" applyFont="1" applyFill="1" applyBorder="1" applyAlignment="1">
      <alignment horizontal="center"/>
    </xf>
    <xf numFmtId="0" fontId="11" fillId="5" borderId="0" xfId="0" applyFont="1" applyFill="1" applyBorder="1"/>
    <xf numFmtId="0" fontId="13" fillId="5" borderId="15" xfId="0" applyFont="1" applyFill="1" applyBorder="1"/>
    <xf numFmtId="0" fontId="13" fillId="5" borderId="0" xfId="0" applyFont="1" applyFill="1" applyBorder="1" applyAlignment="1">
      <alignment horizontal="center"/>
    </xf>
    <xf numFmtId="0" fontId="13" fillId="5" borderId="0" xfId="0" applyFont="1" applyFill="1" applyBorder="1"/>
    <xf numFmtId="0" fontId="13" fillId="5" borderId="16" xfId="0" applyFont="1" applyFill="1" applyBorder="1"/>
    <xf numFmtId="0" fontId="13" fillId="0" borderId="0" xfId="0" applyFont="1"/>
    <xf numFmtId="0" fontId="13" fillId="0" borderId="4" xfId="0" applyFont="1" applyBorder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8" fillId="5" borderId="0" xfId="0" applyFont="1" applyFill="1" applyBorder="1" applyAlignment="1">
      <alignment horizontal="center" wrapText="1"/>
    </xf>
    <xf numFmtId="0" fontId="11" fillId="5" borderId="0" xfId="0" applyFont="1" applyFill="1" applyBorder="1" applyAlignment="1">
      <alignment horizontal="center" wrapText="1"/>
    </xf>
    <xf numFmtId="0" fontId="11" fillId="5" borderId="0" xfId="0" applyFont="1" applyFill="1" applyBorder="1" applyAlignment="1">
      <alignment horizontal="center"/>
    </xf>
    <xf numFmtId="0" fontId="18" fillId="5" borderId="0" xfId="0" applyFont="1" applyFill="1" applyBorder="1" applyAlignment="1">
      <alignment horizontal="center" wrapText="1"/>
    </xf>
    <xf numFmtId="0" fontId="23" fillId="5" borderId="0" xfId="0" applyFont="1" applyFill="1" applyBorder="1" applyAlignment="1">
      <alignment horizontal="left"/>
    </xf>
    <xf numFmtId="0" fontId="3" fillId="0" borderId="1" xfId="0" applyFont="1" applyBorder="1" applyAlignment="1" applyProtection="1">
      <alignment wrapText="1"/>
      <protection locked="0"/>
    </xf>
    <xf numFmtId="0" fontId="24" fillId="0" borderId="5" xfId="0" applyFont="1" applyBorder="1"/>
    <xf numFmtId="0" fontId="24" fillId="0" borderId="5" xfId="0" applyFont="1" applyBorder="1" applyAlignment="1">
      <alignment wrapText="1"/>
    </xf>
    <xf numFmtId="0" fontId="13" fillId="5" borderId="0" xfId="0" applyFont="1" applyFill="1" applyBorder="1" applyAlignment="1">
      <alignment horizontal="center" wrapText="1"/>
    </xf>
    <xf numFmtId="0" fontId="7" fillId="5" borderId="0" xfId="0" applyFont="1" applyFill="1" applyBorder="1" applyAlignment="1">
      <alignment horizontal="center" wrapText="1"/>
    </xf>
    <xf numFmtId="0" fontId="6" fillId="5" borderId="0" xfId="0" applyFont="1" applyFill="1" applyBorder="1"/>
    <xf numFmtId="0" fontId="12" fillId="5" borderId="0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wrapText="1"/>
    </xf>
    <xf numFmtId="0" fontId="18" fillId="5" borderId="1" xfId="0" applyFont="1" applyFill="1" applyBorder="1" applyAlignment="1">
      <alignment wrapText="1"/>
    </xf>
    <xf numFmtId="0" fontId="5" fillId="5" borderId="21" xfId="0" applyFont="1" applyFill="1" applyBorder="1" applyAlignment="1">
      <alignment horizontal="center" wrapText="1"/>
    </xf>
    <xf numFmtId="0" fontId="5" fillId="5" borderId="22" xfId="0" applyFont="1" applyFill="1" applyBorder="1" applyAlignment="1">
      <alignment horizontal="center" wrapText="1"/>
    </xf>
    <xf numFmtId="0" fontId="9" fillId="5" borderId="22" xfId="0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15" fillId="6" borderId="4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wrapText="1"/>
    </xf>
    <xf numFmtId="0" fontId="15" fillId="6" borderId="2" xfId="0" applyFont="1" applyFill="1" applyBorder="1" applyAlignment="1">
      <alignment horizontal="center" wrapText="1"/>
    </xf>
    <xf numFmtId="0" fontId="27" fillId="0" borderId="3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8" fillId="5" borderId="0" xfId="0" applyFont="1" applyFill="1" applyBorder="1" applyAlignment="1">
      <alignment horizontal="center"/>
    </xf>
    <xf numFmtId="0" fontId="27" fillId="5" borderId="5" xfId="0" applyFont="1" applyFill="1" applyBorder="1" applyAlignment="1">
      <alignment horizontal="center"/>
    </xf>
    <xf numFmtId="0" fontId="27" fillId="5" borderId="20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wrapText="1"/>
    </xf>
    <xf numFmtId="0" fontId="29" fillId="6" borderId="3" xfId="0" applyFont="1" applyFill="1" applyBorder="1" applyAlignment="1">
      <alignment horizontal="center"/>
    </xf>
    <xf numFmtId="0" fontId="29" fillId="6" borderId="5" xfId="0" applyFont="1" applyFill="1" applyBorder="1" applyAlignment="1">
      <alignment horizontal="center"/>
    </xf>
    <xf numFmtId="0" fontId="29" fillId="6" borderId="5" xfId="0" applyFont="1" applyFill="1" applyBorder="1" applyAlignment="1">
      <alignment horizontal="center" wrapText="1"/>
    </xf>
    <xf numFmtId="0" fontId="29" fillId="5" borderId="5" xfId="0" applyFont="1" applyFill="1" applyBorder="1" applyAlignment="1">
      <alignment horizontal="center"/>
    </xf>
    <xf numFmtId="0" fontId="30" fillId="5" borderId="0" xfId="0" applyFont="1" applyFill="1" applyBorder="1" applyAlignment="1">
      <alignment horizontal="center"/>
    </xf>
    <xf numFmtId="0" fontId="22" fillId="2" borderId="14" xfId="0" applyFont="1" applyFill="1" applyBorder="1" applyAlignment="1">
      <alignment wrapText="1"/>
    </xf>
    <xf numFmtId="0" fontId="24" fillId="0" borderId="11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8" xfId="0" applyFont="1" applyBorder="1" applyAlignment="1">
      <alignment wrapText="1"/>
    </xf>
    <xf numFmtId="0" fontId="2" fillId="0" borderId="1" xfId="0" applyFont="1" applyBorder="1"/>
    <xf numFmtId="0" fontId="24" fillId="0" borderId="1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24" fillId="0" borderId="7" xfId="0" applyFont="1" applyBorder="1" applyAlignment="1">
      <alignment wrapText="1"/>
    </xf>
    <xf numFmtId="0" fontId="24" fillId="0" borderId="10" xfId="0" applyFont="1" applyBorder="1" applyAlignment="1">
      <alignment wrapText="1"/>
    </xf>
    <xf numFmtId="0" fontId="22" fillId="2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987780</xdr:colOff>
      <xdr:row>7</xdr:row>
      <xdr:rowOff>29935</xdr:rowOff>
    </xdr:from>
    <xdr:to>
      <xdr:col>5</xdr:col>
      <xdr:colOff>1905811</xdr:colOff>
      <xdr:row>17</xdr:row>
      <xdr:rowOff>5443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403980-273B-479D-A7E2-287478696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3030" y="1274535"/>
          <a:ext cx="2715081" cy="2312308"/>
        </a:xfrm>
        <a:prstGeom prst="rect">
          <a:avLst/>
        </a:prstGeom>
      </xdr:spPr>
    </xdr:pic>
    <xdr:clientData/>
  </xdr:twoCellAnchor>
  <xdr:twoCellAnchor editAs="oneCell">
    <xdr:from>
      <xdr:col>1</xdr:col>
      <xdr:colOff>39321</xdr:colOff>
      <xdr:row>1</xdr:row>
      <xdr:rowOff>27843</xdr:rowOff>
    </xdr:from>
    <xdr:to>
      <xdr:col>1</xdr:col>
      <xdr:colOff>660400</xdr:colOff>
      <xdr:row>1</xdr:row>
      <xdr:rowOff>245252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E7601B-DDE5-4878-99ED-02CD3D84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21" y="186593"/>
          <a:ext cx="621079" cy="217409"/>
        </a:xfrm>
        <a:prstGeom prst="rect">
          <a:avLst/>
        </a:prstGeom>
      </xdr:spPr>
    </xdr:pic>
    <xdr:clientData/>
  </xdr:twoCellAnchor>
  <xdr:twoCellAnchor>
    <xdr:from>
      <xdr:col>3</xdr:col>
      <xdr:colOff>27213</xdr:colOff>
      <xdr:row>2</xdr:row>
      <xdr:rowOff>45357</xdr:rowOff>
    </xdr:from>
    <xdr:to>
      <xdr:col>4</xdr:col>
      <xdr:colOff>0</xdr:colOff>
      <xdr:row>6</xdr:row>
      <xdr:rowOff>54428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FC2E984-FB95-C3F0-B203-53394F7CAF5F}"/>
            </a:ext>
          </a:extLst>
        </xdr:cNvPr>
        <xdr:cNvSpPr/>
      </xdr:nvSpPr>
      <xdr:spPr>
        <a:xfrm>
          <a:off x="4014106" y="576036"/>
          <a:ext cx="322037" cy="680356"/>
        </a:xfrm>
        <a:prstGeom prst="rightBrace">
          <a:avLst/>
        </a:prstGeom>
        <a:ln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56"/>
  <sheetViews>
    <sheetView tabSelected="1" zoomScale="101" zoomScaleNormal="101" zoomScaleSheetLayoutView="112" workbookViewId="0">
      <selection activeCell="C29" sqref="C29"/>
    </sheetView>
  </sheetViews>
  <sheetFormatPr defaultColWidth="15.7265625" defaultRowHeight="15" customHeight="1" x14ac:dyDescent="0.35"/>
  <cols>
    <col min="1" max="1" width="3.08984375" customWidth="1"/>
    <col min="2" max="2" width="18.36328125" style="12" customWidth="1"/>
    <col min="3" max="3" width="31.81640625" customWidth="1"/>
    <col min="4" max="4" width="2.6328125" customWidth="1"/>
    <col min="5" max="5" width="25.7265625" customWidth="1"/>
    <col min="6" max="6" width="38" customWidth="1"/>
    <col min="7" max="7" width="10.54296875" customWidth="1"/>
  </cols>
  <sheetData>
    <row r="1" spans="1:16" ht="12.5" customHeight="1" thickBot="1" x14ac:dyDescent="0.4">
      <c r="A1" s="18"/>
      <c r="B1" s="34"/>
      <c r="C1" s="16"/>
      <c r="D1" s="16" t="s">
        <v>50</v>
      </c>
      <c r="E1" s="16" t="s">
        <v>48</v>
      </c>
      <c r="F1" s="16"/>
      <c r="G1" s="18"/>
      <c r="H1" s="18"/>
      <c r="I1" s="18"/>
      <c r="J1" s="18"/>
      <c r="K1" s="18"/>
      <c r="L1" s="18"/>
      <c r="M1" s="18"/>
      <c r="N1" s="18"/>
      <c r="O1" s="18"/>
      <c r="P1" s="19"/>
    </row>
    <row r="2" spans="1:16" ht="22" customHeight="1" thickBot="1" x14ac:dyDescent="0.55000000000000004">
      <c r="A2" s="22"/>
      <c r="B2" s="50" t="s">
        <v>43</v>
      </c>
      <c r="C2" s="51"/>
      <c r="D2" s="52" t="s">
        <v>40</v>
      </c>
      <c r="E2" s="51"/>
      <c r="F2" s="53"/>
      <c r="G2" s="18"/>
      <c r="H2" s="18"/>
      <c r="I2" s="18"/>
      <c r="J2" s="18"/>
      <c r="K2" s="18"/>
      <c r="L2" s="18"/>
      <c r="M2" s="18"/>
      <c r="N2" s="18"/>
      <c r="O2" s="18"/>
      <c r="P2" s="19"/>
    </row>
    <row r="3" spans="1:16" ht="3" customHeight="1" thickBot="1" x14ac:dyDescent="0.4">
      <c r="A3" s="22"/>
      <c r="B3" s="34"/>
      <c r="C3" s="16"/>
      <c r="D3" s="16"/>
      <c r="E3" s="16"/>
      <c r="F3" s="16"/>
      <c r="G3" s="18"/>
      <c r="H3" s="18"/>
      <c r="I3" s="18"/>
      <c r="J3" s="18"/>
      <c r="K3" s="18"/>
      <c r="L3" s="18"/>
      <c r="M3" s="18"/>
      <c r="N3" s="18"/>
      <c r="O3" s="18"/>
      <c r="P3" s="19"/>
    </row>
    <row r="4" spans="1:16" s="32" customFormat="1" ht="13.5" customHeight="1" x14ac:dyDescent="0.3">
      <c r="A4" s="28"/>
      <c r="B4" s="56" t="s">
        <v>41</v>
      </c>
      <c r="C4" s="57">
        <v>5</v>
      </c>
      <c r="D4" s="29"/>
      <c r="E4" s="29"/>
      <c r="F4" s="29"/>
      <c r="G4" s="30"/>
      <c r="H4" s="30"/>
      <c r="I4" s="30"/>
      <c r="J4" s="30"/>
      <c r="K4" s="30"/>
      <c r="L4" s="30"/>
      <c r="M4" s="30"/>
      <c r="N4" s="30"/>
      <c r="O4" s="30"/>
      <c r="P4" s="31"/>
    </row>
    <row r="5" spans="1:16" s="32" customFormat="1" ht="13" customHeight="1" x14ac:dyDescent="0.3">
      <c r="A5" s="28"/>
      <c r="B5" s="54" t="s">
        <v>6</v>
      </c>
      <c r="C5" s="58" t="s">
        <v>59</v>
      </c>
      <c r="D5" s="29"/>
      <c r="E5" s="39" t="s">
        <v>56</v>
      </c>
      <c r="F5" s="29"/>
      <c r="G5" s="30"/>
      <c r="H5" s="30"/>
      <c r="I5" s="30"/>
      <c r="J5" s="30"/>
      <c r="K5" s="30"/>
      <c r="L5" s="30"/>
      <c r="M5" s="30"/>
      <c r="N5" s="30"/>
      <c r="O5" s="30"/>
      <c r="P5" s="31"/>
    </row>
    <row r="6" spans="1:16" s="32" customFormat="1" ht="19" customHeight="1" x14ac:dyDescent="0.3">
      <c r="A6" s="28"/>
      <c r="B6" s="54" t="s">
        <v>19</v>
      </c>
      <c r="C6" s="58" t="s">
        <v>100</v>
      </c>
      <c r="D6" s="29"/>
      <c r="E6" s="29"/>
      <c r="F6" s="29"/>
      <c r="G6" s="30"/>
      <c r="H6" s="30"/>
      <c r="I6" s="30"/>
      <c r="J6" s="30"/>
      <c r="K6" s="30"/>
      <c r="L6" s="30"/>
      <c r="M6" s="30"/>
      <c r="N6" s="30"/>
      <c r="O6" s="30"/>
      <c r="P6" s="31"/>
    </row>
    <row r="7" spans="1:16" s="32" customFormat="1" ht="15" customHeight="1" x14ac:dyDescent="0.3">
      <c r="A7" s="28"/>
      <c r="B7" s="54" t="s">
        <v>20</v>
      </c>
      <c r="C7" s="58">
        <v>5</v>
      </c>
      <c r="D7" s="29"/>
      <c r="E7" s="29"/>
      <c r="F7" s="29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6" s="32" customFormat="1" ht="15" customHeight="1" thickBot="1" x14ac:dyDescent="0.35">
      <c r="A8" s="28"/>
      <c r="B8" s="55" t="s">
        <v>21</v>
      </c>
      <c r="C8" s="59" t="str">
        <f>INDEX(Formulary!$K:$K, MATCH(C5,Formulary!$A:$A,0))</f>
        <v>mcg/kg/min</v>
      </c>
      <c r="D8" s="29"/>
      <c r="E8" s="29"/>
      <c r="F8" s="29"/>
      <c r="G8" s="30"/>
      <c r="H8" s="30"/>
      <c r="I8" s="30"/>
      <c r="J8" s="30"/>
      <c r="K8" s="30"/>
      <c r="L8" s="30"/>
      <c r="M8" s="30"/>
      <c r="N8" s="30"/>
      <c r="O8" s="30"/>
      <c r="P8" s="31"/>
    </row>
    <row r="9" spans="1:16" s="32" customFormat="1" ht="8.25" customHeight="1" thickBot="1" x14ac:dyDescent="0.35">
      <c r="A9" s="28"/>
      <c r="B9" s="43"/>
      <c r="C9" s="60"/>
      <c r="D9" s="29"/>
      <c r="E9" s="29"/>
      <c r="F9" s="29"/>
      <c r="G9" s="30"/>
      <c r="H9" s="30"/>
      <c r="I9" s="30" t="s">
        <v>51</v>
      </c>
      <c r="J9" s="30"/>
      <c r="K9" s="30"/>
      <c r="L9" s="30"/>
      <c r="M9" s="30"/>
      <c r="N9" s="30"/>
      <c r="O9" s="30"/>
      <c r="P9" s="31"/>
    </row>
    <row r="10" spans="1:16" s="32" customFormat="1" ht="41" customHeight="1" x14ac:dyDescent="0.3">
      <c r="A10" s="28"/>
      <c r="B10" s="56" t="s">
        <v>53</v>
      </c>
      <c r="C10" s="64">
        <f>INDEX(Formulary!$L:$L, MATCH(C5,Formulary!$A:$A,0))</f>
        <v>1</v>
      </c>
      <c r="D10" s="29"/>
      <c r="E10" s="29"/>
      <c r="F10" s="29"/>
      <c r="G10" s="30"/>
      <c r="H10" s="30" t="s">
        <v>49</v>
      </c>
      <c r="I10" s="30" t="s">
        <v>44</v>
      </c>
      <c r="J10" s="30"/>
      <c r="K10" s="30"/>
      <c r="L10" s="30"/>
      <c r="M10" s="30"/>
      <c r="N10" s="30"/>
      <c r="O10" s="30"/>
      <c r="P10" s="31"/>
    </row>
    <row r="11" spans="1:16" s="32" customFormat="1" ht="29.5" customHeight="1" x14ac:dyDescent="0.3">
      <c r="A11" s="28"/>
      <c r="B11" s="54" t="s">
        <v>54</v>
      </c>
      <c r="C11" s="65">
        <f>IF(C6="Standard", INDEX(Formulary!$C:$C, MATCH(C5,Formulary!$A:$A,0)), INDEX(Formulary!$G:$G, MATCH(C5,Formulary!$A:$A,0)))</f>
        <v>1</v>
      </c>
      <c r="D11" s="29"/>
      <c r="E11" s="29"/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1"/>
    </row>
    <row r="12" spans="1:16" s="32" customFormat="1" ht="15" customHeight="1" x14ac:dyDescent="0.3">
      <c r="A12" s="28"/>
      <c r="B12" s="54" t="s">
        <v>22</v>
      </c>
      <c r="C12" s="65">
        <f>IF(C6="Standard", INDEX(Formulary!$E:$E, MATCH(C5,Formulary!$A:$A,0)), INDEX(Formulary!$I:$I, MATCH(C5,Formulary!$A:$A,0)))</f>
        <v>50</v>
      </c>
      <c r="D12" s="29"/>
      <c r="E12" s="29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1"/>
    </row>
    <row r="13" spans="1:16" s="32" customFormat="1" ht="24.5" customHeight="1" x14ac:dyDescent="0.3">
      <c r="A13" s="28"/>
      <c r="B13" s="54" t="s">
        <v>23</v>
      </c>
      <c r="C13" s="66" t="str">
        <f>IF(C6="Standard", INDEX(Formulary!$F:$F, MATCH(C5,Formulary!$A:$A,0)), INDEX(Formulary!$J:$J, MATCH(C5,Formulary!$A:$A,0)))</f>
        <v>(D5NS,D5W,D51/2NS,)   *NS alone may Increase decomposition rate*</v>
      </c>
      <c r="D13" s="29"/>
      <c r="E13" s="29"/>
      <c r="F13" s="29"/>
      <c r="G13" s="30"/>
      <c r="H13" s="30"/>
      <c r="I13" s="30"/>
      <c r="J13" s="30"/>
      <c r="K13" s="30"/>
      <c r="L13" s="30"/>
      <c r="M13" s="30"/>
      <c r="N13" s="30"/>
      <c r="O13" s="30"/>
      <c r="P13" s="31"/>
    </row>
    <row r="14" spans="1:16" s="32" customFormat="1" ht="15" customHeight="1" x14ac:dyDescent="0.3">
      <c r="A14" s="28"/>
      <c r="B14" s="54" t="s">
        <v>24</v>
      </c>
      <c r="C14" s="65">
        <f>C11/C12</f>
        <v>0.02</v>
      </c>
      <c r="D14" s="29"/>
      <c r="E14" s="29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1"/>
    </row>
    <row r="15" spans="1:16" s="32" customFormat="1" ht="6" customHeight="1" x14ac:dyDescent="0.3">
      <c r="A15" s="28"/>
      <c r="B15" s="63"/>
      <c r="C15" s="67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1"/>
    </row>
    <row r="16" spans="1:16" s="32" customFormat="1" ht="15" customHeight="1" x14ac:dyDescent="0.3">
      <c r="A16" s="28"/>
      <c r="B16" s="54" t="s">
        <v>25</v>
      </c>
      <c r="C16" s="65">
        <f>C11/C10</f>
        <v>1</v>
      </c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1"/>
    </row>
    <row r="17" spans="1:16" s="32" customFormat="1" ht="15" customHeight="1" x14ac:dyDescent="0.3">
      <c r="A17" s="28"/>
      <c r="B17" s="54" t="s">
        <v>26</v>
      </c>
      <c r="C17" s="65">
        <f>C12-C16</f>
        <v>49</v>
      </c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1"/>
    </row>
    <row r="18" spans="1:16" s="32" customFormat="1" ht="4.5" customHeight="1" x14ac:dyDescent="0.3">
      <c r="A18" s="28"/>
      <c r="B18" s="33"/>
      <c r="C18" s="58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1"/>
    </row>
    <row r="19" spans="1:16" s="32" customFormat="1" ht="26.5" customHeight="1" x14ac:dyDescent="0.3">
      <c r="A19" s="28"/>
      <c r="B19" s="54" t="s">
        <v>77</v>
      </c>
      <c r="C19" s="61">
        <f>IF(C8="mcg/kg/min",C7*C4*60/1000,IF(C8="mcg/kg/hr",C7*C4/1000,IF(C8="mg/kg/hr",C7*C4,IF(C8="mg/hr",C7,IF(C8="unit/kg/hr",C7*C4,NA())))))</f>
        <v>1.5</v>
      </c>
      <c r="D19" s="29"/>
      <c r="E19" s="29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31"/>
    </row>
    <row r="20" spans="1:16" s="32" customFormat="1" ht="19.5" customHeight="1" thickBot="1" x14ac:dyDescent="0.35">
      <c r="A20" s="28"/>
      <c r="B20" s="55" t="s">
        <v>55</v>
      </c>
      <c r="C20" s="62">
        <f>C19/C14</f>
        <v>75</v>
      </c>
      <c r="D20" s="29"/>
      <c r="E20" s="26"/>
      <c r="F20" s="38"/>
      <c r="G20" s="30"/>
      <c r="H20" s="30"/>
      <c r="I20" s="30"/>
      <c r="J20" s="30"/>
      <c r="K20" s="30"/>
      <c r="L20" s="30"/>
      <c r="M20" s="30"/>
      <c r="N20" s="30"/>
      <c r="O20" s="30"/>
      <c r="P20" s="31"/>
    </row>
    <row r="21" spans="1:16" ht="12.5" customHeight="1" x14ac:dyDescent="0.35">
      <c r="A21" s="22"/>
      <c r="B21" s="44"/>
      <c r="C21" s="47" t="s">
        <v>57</v>
      </c>
      <c r="D21" s="17"/>
      <c r="E21" s="47" t="str">
        <f>Formulary!M1</f>
        <v>Special consideration</v>
      </c>
      <c r="F21" s="47" t="str">
        <f>Formulary!N1</f>
        <v>Average starting dose (Dose range)</v>
      </c>
      <c r="G21" s="45"/>
      <c r="H21" s="18"/>
      <c r="I21" s="18"/>
      <c r="J21" s="18"/>
      <c r="K21" s="18"/>
      <c r="L21" s="18"/>
      <c r="M21" s="18"/>
      <c r="N21" s="18"/>
      <c r="O21" s="18"/>
      <c r="P21" s="19"/>
    </row>
    <row r="22" spans="1:16" ht="66" customHeight="1" x14ac:dyDescent="0.35">
      <c r="A22" s="22"/>
      <c r="B22" s="46"/>
      <c r="C22" s="48" t="str">
        <f>"Draw " &amp; TEXT(C16,"0.00") &amp; " mL stock + " &amp; TEXT(C17,"0.00") &amp; " mL " &amp; C13 &amp; " → Prepare " &amp; TEXT(C12,"0") &amp; " mL (" &amp; C5 &amp; " - " &amp; C6 &amp; " conc)."</f>
        <v>Draw 1.00 mL stock + 49.00 mL (D5NS,D5W,D51/2NS,)   *NS alone may Increase decomposition rate* → Prepare 50 mL (Norepinephrine (1mg/ml)4ml - Standard conc).</v>
      </c>
      <c r="D22" s="17"/>
      <c r="E22" s="49" t="str">
        <f>IFERROR(VLOOKUP(C5, Formulary!A:M, 13, FALSE), "")</f>
        <v>VESICANT, Administer through large vein or Central line, Protect from light</v>
      </c>
      <c r="F22" s="49" t="str">
        <f>IFERROR(VLOOKUP(C5, Formulary!A:N, 14, FALSE), "")</f>
        <v>Start at 0.05-0.1 mcg/kg/min, titrate to desire effect (0.05-2mcg/kg/min)</v>
      </c>
      <c r="G22" s="45"/>
      <c r="H22" s="18"/>
      <c r="I22" s="18" t="s">
        <v>47</v>
      </c>
      <c r="J22" s="18"/>
      <c r="K22" s="18"/>
      <c r="L22" s="18"/>
      <c r="M22" s="18"/>
      <c r="N22" s="18"/>
      <c r="O22" s="18"/>
      <c r="P22" s="19"/>
    </row>
    <row r="23" spans="1:16" ht="20" customHeight="1" x14ac:dyDescent="0.35">
      <c r="A23" s="22"/>
      <c r="B23" s="44"/>
      <c r="C23" s="17"/>
      <c r="D23" s="17"/>
      <c r="E23" s="17"/>
      <c r="F23" s="68" t="s">
        <v>52</v>
      </c>
      <c r="G23" s="45"/>
      <c r="H23" s="18"/>
      <c r="I23" s="18"/>
      <c r="J23" s="18"/>
      <c r="K23" s="18"/>
      <c r="L23" s="18"/>
      <c r="M23" s="18"/>
      <c r="N23" s="18"/>
      <c r="O23" s="18"/>
      <c r="P23" s="19"/>
    </row>
    <row r="24" spans="1:16" ht="19" customHeight="1" x14ac:dyDescent="0.35">
      <c r="A24" s="18"/>
      <c r="B24" s="36"/>
      <c r="C24" s="37"/>
      <c r="D24" s="37"/>
      <c r="E24" s="37"/>
      <c r="F24" s="35"/>
      <c r="G24" s="27"/>
      <c r="H24" s="18"/>
      <c r="I24" s="18"/>
      <c r="J24" s="18"/>
      <c r="K24" s="18"/>
      <c r="L24" s="18"/>
      <c r="M24" s="18"/>
      <c r="N24" s="18"/>
      <c r="O24" s="18"/>
      <c r="P24" s="19"/>
    </row>
    <row r="25" spans="1:16" ht="15" customHeight="1" x14ac:dyDescent="0.35">
      <c r="A25" s="22"/>
      <c r="B25" s="23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</row>
    <row r="26" spans="1:16" ht="15" customHeight="1" x14ac:dyDescent="0.35">
      <c r="A26" s="22"/>
      <c r="B26" s="23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9"/>
    </row>
    <row r="27" spans="1:16" ht="15" customHeight="1" x14ac:dyDescent="0.35">
      <c r="A27" s="22"/>
      <c r="B27" s="23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</row>
    <row r="28" spans="1:16" ht="15" customHeight="1" x14ac:dyDescent="0.35">
      <c r="A28" s="22"/>
      <c r="B28" s="23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</row>
    <row r="29" spans="1:16" ht="15" customHeight="1" x14ac:dyDescent="0.35">
      <c r="A29" s="22"/>
      <c r="B29" s="23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</row>
    <row r="30" spans="1:16" ht="15" customHeight="1" x14ac:dyDescent="0.35">
      <c r="A30" s="22"/>
      <c r="B30" s="2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</row>
    <row r="31" spans="1:16" ht="15" customHeight="1" x14ac:dyDescent="0.35">
      <c r="A31" s="22"/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</row>
    <row r="32" spans="1:16" ht="15" customHeight="1" x14ac:dyDescent="0.35">
      <c r="A32" s="22"/>
      <c r="B32" s="23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</row>
    <row r="33" spans="1:16" ht="15" customHeight="1" x14ac:dyDescent="0.35">
      <c r="A33" s="22"/>
      <c r="B33" s="2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</row>
    <row r="34" spans="1:16" ht="15" customHeight="1" x14ac:dyDescent="0.35">
      <c r="A34" s="22"/>
      <c r="B34" s="23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</row>
    <row r="35" spans="1:16" ht="15" customHeight="1" x14ac:dyDescent="0.35">
      <c r="A35" s="22"/>
      <c r="B35" s="23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</row>
    <row r="36" spans="1:16" ht="15" customHeight="1" x14ac:dyDescent="0.35">
      <c r="A36" s="22"/>
      <c r="B36" s="23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9"/>
    </row>
    <row r="37" spans="1:16" ht="15" customHeight="1" x14ac:dyDescent="0.35">
      <c r="A37" s="22"/>
      <c r="B37" s="2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</row>
    <row r="38" spans="1:16" ht="15" customHeight="1" x14ac:dyDescent="0.35">
      <c r="A38" s="22"/>
      <c r="B38" s="23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</row>
    <row r="39" spans="1:16" ht="15" customHeight="1" x14ac:dyDescent="0.35">
      <c r="A39" s="22"/>
      <c r="B39" s="23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</row>
    <row r="40" spans="1:16" ht="15" customHeight="1" x14ac:dyDescent="0.35">
      <c r="A40" s="22"/>
      <c r="B40" s="23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</row>
    <row r="41" spans="1:16" ht="15" customHeight="1" x14ac:dyDescent="0.35">
      <c r="A41" s="22"/>
      <c r="B41" s="23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</row>
    <row r="42" spans="1:16" ht="15" customHeight="1" x14ac:dyDescent="0.35">
      <c r="A42" s="22"/>
      <c r="B42" s="2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</row>
    <row r="43" spans="1:16" ht="15" customHeight="1" x14ac:dyDescent="0.35">
      <c r="A43" s="22"/>
      <c r="B43" s="23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9"/>
    </row>
    <row r="44" spans="1:16" ht="15" customHeight="1" x14ac:dyDescent="0.35">
      <c r="A44" s="22"/>
      <c r="B44" s="23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</row>
    <row r="45" spans="1:16" ht="15" customHeight="1" x14ac:dyDescent="0.35">
      <c r="A45" s="22"/>
      <c r="B45" s="23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</row>
    <row r="46" spans="1:16" ht="15" customHeight="1" x14ac:dyDescent="0.35">
      <c r="A46" s="22"/>
      <c r="B46" s="23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</row>
    <row r="47" spans="1:16" ht="15" customHeight="1" x14ac:dyDescent="0.35">
      <c r="A47" s="22"/>
      <c r="B47" s="23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</row>
    <row r="48" spans="1:16" ht="15" customHeight="1" x14ac:dyDescent="0.35">
      <c r="A48" s="22"/>
      <c r="B48" s="23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</row>
    <row r="49" spans="1:16" ht="15" customHeight="1" x14ac:dyDescent="0.35">
      <c r="A49" s="22"/>
      <c r="B49" s="23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</row>
    <row r="50" spans="1:16" ht="15" customHeight="1" x14ac:dyDescent="0.35">
      <c r="A50" s="22"/>
      <c r="B50" s="23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</row>
    <row r="51" spans="1:16" ht="15" customHeight="1" x14ac:dyDescent="0.35">
      <c r="A51" s="22"/>
      <c r="B51" s="23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</row>
    <row r="52" spans="1:16" ht="15" customHeight="1" x14ac:dyDescent="0.35">
      <c r="A52" s="22"/>
      <c r="B52" s="23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</row>
    <row r="53" spans="1:16" ht="15" customHeight="1" x14ac:dyDescent="0.35">
      <c r="A53" s="22"/>
      <c r="B53" s="23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</row>
    <row r="54" spans="1:16" ht="15" customHeight="1" x14ac:dyDescent="0.35">
      <c r="A54" s="22"/>
      <c r="B54" s="23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</row>
    <row r="55" spans="1:16" ht="15" customHeight="1" x14ac:dyDescent="0.35">
      <c r="A55" s="22"/>
      <c r="B55" s="23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/>
    </row>
    <row r="56" spans="1:16" ht="15" customHeight="1" x14ac:dyDescent="0.35">
      <c r="A56" s="24"/>
      <c r="B56" s="25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1"/>
    </row>
  </sheetData>
  <sheetProtection algorithmName="SHA-512" hashValue="LCbofU8nFuB5HnFbhu6whSoFliFssmV96BI27u8GIANx5ViR22bhcF0EhF8vphK9ltrvazF0yzMFtGgg/S1VKA==" saltValue="NtUbyJ4VqFKI3WmsB7RQnQ==" spinCount="100000" sheet="1" objects="1" scenarios="1"/>
  <protectedRanges>
    <protectedRange sqref="C4:C7" name="Range1"/>
  </protectedRanges>
  <dataValidations count="1">
    <dataValidation type="list" sqref="C6" xr:uid="{00000000-0002-0000-0300-000001000000}">
      <formula1>"Standard,Maximum"</formula1>
    </dataValidation>
  </dataValidations>
  <pageMargins left="0.75" right="0.75" top="1" bottom="1" header="0.5" footer="0.5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Formulary!$A$2:$A$200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E35" sqref="E35"/>
    </sheetView>
  </sheetViews>
  <sheetFormatPr defaultRowHeight="14.5" x14ac:dyDescent="0.35"/>
  <cols>
    <col min="1" max="1" width="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zoomScale="77" zoomScaleNormal="77" workbookViewId="0">
      <selection activeCell="E26" sqref="E26"/>
    </sheetView>
  </sheetViews>
  <sheetFormatPr defaultRowHeight="14.5" x14ac:dyDescent="0.35"/>
  <cols>
    <col min="1" max="1" width="20" style="12" customWidth="1"/>
    <col min="2" max="12" width="20" customWidth="1"/>
    <col min="13" max="13" width="20" style="71" customWidth="1"/>
    <col min="14" max="14" width="30.6328125" style="71" customWidth="1"/>
  </cols>
  <sheetData>
    <row r="1" spans="1:14" ht="15" thickBot="1" x14ac:dyDescent="0.4">
      <c r="A1" s="10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79" t="s">
        <v>81</v>
      </c>
      <c r="N1" s="69" t="s">
        <v>80</v>
      </c>
    </row>
    <row r="2" spans="1:14" ht="39.5" x14ac:dyDescent="0.35">
      <c r="A2" s="6" t="s">
        <v>62</v>
      </c>
      <c r="B2" s="7" t="s">
        <v>27</v>
      </c>
      <c r="C2" s="13">
        <v>1</v>
      </c>
      <c r="D2" s="13">
        <v>50</v>
      </c>
      <c r="E2" s="13">
        <v>50</v>
      </c>
      <c r="F2" s="7" t="s">
        <v>42</v>
      </c>
      <c r="G2" s="13">
        <v>1.6</v>
      </c>
      <c r="H2" s="13">
        <v>25</v>
      </c>
      <c r="I2" s="13">
        <v>25</v>
      </c>
      <c r="J2" s="7" t="s">
        <v>42</v>
      </c>
      <c r="K2" s="8" t="s">
        <v>4</v>
      </c>
      <c r="L2" s="13">
        <v>1</v>
      </c>
      <c r="M2" s="78" t="s">
        <v>46</v>
      </c>
      <c r="N2" s="70" t="s">
        <v>45</v>
      </c>
    </row>
    <row r="3" spans="1:14" ht="39.5" x14ac:dyDescent="0.35">
      <c r="A3" s="4" t="s">
        <v>63</v>
      </c>
      <c r="B3" s="1" t="s">
        <v>27</v>
      </c>
      <c r="C3" s="14">
        <v>1</v>
      </c>
      <c r="D3" s="14">
        <v>50</v>
      </c>
      <c r="E3" s="14">
        <v>50</v>
      </c>
      <c r="F3" s="1" t="s">
        <v>42</v>
      </c>
      <c r="G3" s="14">
        <v>1.6</v>
      </c>
      <c r="H3" s="14">
        <v>25</v>
      </c>
      <c r="I3" s="14">
        <v>25</v>
      </c>
      <c r="J3" s="1" t="s">
        <v>42</v>
      </c>
      <c r="K3" s="3" t="s">
        <v>4</v>
      </c>
      <c r="L3" s="14">
        <v>1</v>
      </c>
      <c r="M3" s="74" t="s">
        <v>46</v>
      </c>
      <c r="N3" s="42" t="s">
        <v>58</v>
      </c>
    </row>
    <row r="4" spans="1:14" ht="28.5" x14ac:dyDescent="0.35">
      <c r="A4" s="4" t="s">
        <v>64</v>
      </c>
      <c r="B4" s="1" t="s">
        <v>28</v>
      </c>
      <c r="C4" s="14">
        <v>80</v>
      </c>
      <c r="D4" s="14">
        <v>50</v>
      </c>
      <c r="E4" s="14">
        <v>50</v>
      </c>
      <c r="F4" s="40" t="s">
        <v>94</v>
      </c>
      <c r="G4" s="14">
        <v>150</v>
      </c>
      <c r="H4" s="14">
        <v>25</v>
      </c>
      <c r="I4" s="14">
        <v>25</v>
      </c>
      <c r="J4" s="40" t="s">
        <v>60</v>
      </c>
      <c r="K4" s="3" t="s">
        <v>4</v>
      </c>
      <c r="L4" s="14">
        <v>200</v>
      </c>
      <c r="M4" s="74" t="s">
        <v>61</v>
      </c>
      <c r="N4" s="42" t="s">
        <v>75</v>
      </c>
    </row>
    <row r="5" spans="1:14" ht="49.5" x14ac:dyDescent="0.35">
      <c r="A5" s="4" t="s">
        <v>85</v>
      </c>
      <c r="B5" s="1" t="s">
        <v>29</v>
      </c>
      <c r="C5" s="14">
        <v>100</v>
      </c>
      <c r="D5" s="14">
        <v>50</v>
      </c>
      <c r="E5" s="14">
        <v>50</v>
      </c>
      <c r="F5" s="40" t="s">
        <v>86</v>
      </c>
      <c r="G5" s="14">
        <v>125</v>
      </c>
      <c r="H5" s="14">
        <v>25</v>
      </c>
      <c r="I5" s="14">
        <v>25</v>
      </c>
      <c r="J5" s="40" t="s">
        <v>86</v>
      </c>
      <c r="K5" s="3" t="s">
        <v>4</v>
      </c>
      <c r="L5" s="14">
        <v>250</v>
      </c>
      <c r="M5" s="74" t="s">
        <v>87</v>
      </c>
      <c r="N5" s="42" t="s">
        <v>88</v>
      </c>
    </row>
    <row r="6" spans="1:14" x14ac:dyDescent="0.35">
      <c r="A6" s="4" t="s">
        <v>65</v>
      </c>
      <c r="B6" s="1" t="s">
        <v>30</v>
      </c>
      <c r="C6" s="14">
        <v>50</v>
      </c>
      <c r="D6" s="14">
        <v>50</v>
      </c>
      <c r="E6" s="14">
        <v>50</v>
      </c>
      <c r="F6" s="40" t="s">
        <v>66</v>
      </c>
      <c r="G6" s="14">
        <v>100</v>
      </c>
      <c r="H6" s="14">
        <v>20</v>
      </c>
      <c r="I6" s="14">
        <v>20</v>
      </c>
      <c r="J6" s="40" t="s">
        <v>66</v>
      </c>
      <c r="K6" s="3" t="s">
        <v>2</v>
      </c>
      <c r="L6" s="14">
        <v>100</v>
      </c>
      <c r="M6" s="74" t="s">
        <v>67</v>
      </c>
      <c r="N6" s="42" t="s">
        <v>68</v>
      </c>
    </row>
    <row r="7" spans="1:14" ht="28" x14ac:dyDescent="0.35">
      <c r="A7" s="4" t="s">
        <v>69</v>
      </c>
      <c r="B7" s="2" t="s">
        <v>31</v>
      </c>
      <c r="C7" s="14">
        <v>0.5</v>
      </c>
      <c r="D7" s="14">
        <v>50</v>
      </c>
      <c r="E7" s="14">
        <v>50</v>
      </c>
      <c r="F7" s="40" t="s">
        <v>76</v>
      </c>
      <c r="G7" s="14">
        <v>0.5</v>
      </c>
      <c r="H7" s="14">
        <v>10</v>
      </c>
      <c r="I7" s="14">
        <v>10</v>
      </c>
      <c r="J7" s="40" t="s">
        <v>76</v>
      </c>
      <c r="K7" s="3" t="s">
        <v>3</v>
      </c>
      <c r="L7" s="14">
        <v>0.5</v>
      </c>
      <c r="M7" s="74" t="s">
        <v>75</v>
      </c>
      <c r="N7" s="42" t="s">
        <v>70</v>
      </c>
    </row>
    <row r="8" spans="1:14" ht="65.5" x14ac:dyDescent="0.35">
      <c r="A8" s="4" t="s">
        <v>71</v>
      </c>
      <c r="B8" s="2" t="s">
        <v>32</v>
      </c>
      <c r="C8" s="14">
        <v>30</v>
      </c>
      <c r="D8" s="14">
        <v>30</v>
      </c>
      <c r="E8" s="14">
        <v>30</v>
      </c>
      <c r="F8" s="40" t="s">
        <v>76</v>
      </c>
      <c r="G8" s="14">
        <v>30</v>
      </c>
      <c r="H8" s="14">
        <v>15</v>
      </c>
      <c r="I8" s="14">
        <v>15</v>
      </c>
      <c r="J8" s="40" t="s">
        <v>76</v>
      </c>
      <c r="K8" s="3" t="s">
        <v>4</v>
      </c>
      <c r="L8" s="14">
        <v>15</v>
      </c>
      <c r="M8" s="74" t="s">
        <v>74</v>
      </c>
      <c r="N8" s="42" t="s">
        <v>72</v>
      </c>
    </row>
    <row r="9" spans="1:14" ht="28" x14ac:dyDescent="0.35">
      <c r="A9" s="4" t="s">
        <v>73</v>
      </c>
      <c r="B9" s="2" t="s">
        <v>33</v>
      </c>
      <c r="C9" s="14">
        <v>50</v>
      </c>
      <c r="D9" s="14">
        <v>50</v>
      </c>
      <c r="E9" s="14">
        <v>50</v>
      </c>
      <c r="F9" s="40" t="s">
        <v>76</v>
      </c>
      <c r="G9" s="14">
        <v>50</v>
      </c>
      <c r="H9" s="14">
        <v>25</v>
      </c>
      <c r="I9" s="14">
        <v>25</v>
      </c>
      <c r="J9" s="40" t="s">
        <v>76</v>
      </c>
      <c r="K9" s="3" t="s">
        <v>4</v>
      </c>
      <c r="L9" s="14">
        <v>50</v>
      </c>
      <c r="M9" s="74" t="s">
        <v>67</v>
      </c>
      <c r="N9" s="42" t="s">
        <v>91</v>
      </c>
    </row>
    <row r="10" spans="1:14" ht="42" x14ac:dyDescent="0.35">
      <c r="A10" s="4" t="s">
        <v>78</v>
      </c>
      <c r="B10" s="2" t="s">
        <v>34</v>
      </c>
      <c r="C10" s="14">
        <v>20</v>
      </c>
      <c r="D10" s="14">
        <v>50</v>
      </c>
      <c r="E10" s="14">
        <v>50</v>
      </c>
      <c r="F10" s="40" t="s">
        <v>79</v>
      </c>
      <c r="G10" s="14">
        <v>20</v>
      </c>
      <c r="H10" s="14">
        <v>10</v>
      </c>
      <c r="I10" s="14">
        <v>10</v>
      </c>
      <c r="J10" s="40" t="s">
        <v>79</v>
      </c>
      <c r="K10" s="3" t="s">
        <v>4</v>
      </c>
      <c r="L10" s="14">
        <v>20</v>
      </c>
      <c r="M10" s="74"/>
      <c r="N10" s="41" t="s">
        <v>82</v>
      </c>
    </row>
    <row r="11" spans="1:14" ht="39.5" x14ac:dyDescent="0.35">
      <c r="A11" s="4" t="s">
        <v>84</v>
      </c>
      <c r="B11" s="1" t="s">
        <v>35</v>
      </c>
      <c r="C11" s="14">
        <v>0.1</v>
      </c>
      <c r="D11" s="14">
        <v>50</v>
      </c>
      <c r="E11" s="14">
        <v>50</v>
      </c>
      <c r="F11" s="40" t="s">
        <v>18</v>
      </c>
      <c r="G11" s="14">
        <v>0.1</v>
      </c>
      <c r="H11" s="14">
        <v>25</v>
      </c>
      <c r="I11" s="14">
        <v>25</v>
      </c>
      <c r="J11" s="40" t="s">
        <v>18</v>
      </c>
      <c r="K11" s="3" t="s">
        <v>3</v>
      </c>
      <c r="L11" s="14">
        <v>0.2</v>
      </c>
      <c r="M11" s="74"/>
      <c r="N11" s="42" t="s">
        <v>83</v>
      </c>
    </row>
    <row r="12" spans="1:14" ht="17.5" x14ac:dyDescent="0.35">
      <c r="A12" s="4" t="s">
        <v>92</v>
      </c>
      <c r="B12" s="1" t="s">
        <v>36</v>
      </c>
      <c r="C12" s="14">
        <v>100</v>
      </c>
      <c r="D12" s="14">
        <v>50</v>
      </c>
      <c r="E12" s="14">
        <v>50</v>
      </c>
      <c r="F12" s="40" t="s">
        <v>76</v>
      </c>
      <c r="G12" s="14">
        <v>250</v>
      </c>
      <c r="H12" s="14">
        <v>25</v>
      </c>
      <c r="I12" s="14">
        <v>25</v>
      </c>
      <c r="J12" s="40" t="s">
        <v>76</v>
      </c>
      <c r="K12" s="3" t="s">
        <v>2</v>
      </c>
      <c r="L12" s="14">
        <v>20</v>
      </c>
      <c r="M12" s="74" t="s">
        <v>90</v>
      </c>
      <c r="N12" s="41" t="s">
        <v>89</v>
      </c>
    </row>
    <row r="13" spans="1:14" ht="33.5" x14ac:dyDescent="0.35">
      <c r="A13" s="11" t="s">
        <v>93</v>
      </c>
      <c r="B13" s="3" t="s">
        <v>37</v>
      </c>
      <c r="C13" s="15">
        <v>5000</v>
      </c>
      <c r="D13" s="15">
        <v>50</v>
      </c>
      <c r="E13" s="15">
        <v>50</v>
      </c>
      <c r="F13" s="40" t="s">
        <v>86</v>
      </c>
      <c r="G13" s="15">
        <v>5000</v>
      </c>
      <c r="H13" s="15">
        <v>50</v>
      </c>
      <c r="I13" s="15">
        <v>50</v>
      </c>
      <c r="J13" s="40" t="s">
        <v>86</v>
      </c>
      <c r="K13" s="3" t="s">
        <v>5</v>
      </c>
      <c r="L13" s="15">
        <v>5000</v>
      </c>
      <c r="M13" s="74" t="s">
        <v>96</v>
      </c>
      <c r="N13" s="42" t="s">
        <v>95</v>
      </c>
    </row>
    <row r="14" spans="1:14" ht="17.5" x14ac:dyDescent="0.35">
      <c r="A14" s="11" t="s">
        <v>97</v>
      </c>
      <c r="B14" s="3" t="s">
        <v>38</v>
      </c>
      <c r="C14" s="15">
        <v>5</v>
      </c>
      <c r="D14" s="15">
        <v>50</v>
      </c>
      <c r="E14" s="15">
        <v>50</v>
      </c>
      <c r="F14" s="73" t="s">
        <v>39</v>
      </c>
      <c r="G14" s="15">
        <v>25</v>
      </c>
      <c r="H14" s="15">
        <v>25</v>
      </c>
      <c r="I14" s="15">
        <v>25</v>
      </c>
      <c r="J14" s="73" t="s">
        <v>39</v>
      </c>
      <c r="K14" s="3" t="s">
        <v>5</v>
      </c>
      <c r="L14" s="15">
        <v>100</v>
      </c>
      <c r="M14" s="74" t="s">
        <v>99</v>
      </c>
      <c r="N14" s="41" t="s">
        <v>98</v>
      </c>
    </row>
    <row r="15" spans="1:14" x14ac:dyDescent="0.35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74"/>
      <c r="N15" s="42"/>
    </row>
    <row r="16" spans="1:14" x14ac:dyDescent="0.35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74"/>
      <c r="N16" s="42"/>
    </row>
    <row r="17" spans="1:14" x14ac:dyDescent="0.35">
      <c r="A17" s="7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74"/>
      <c r="N17" s="42"/>
    </row>
    <row r="18" spans="1:14" x14ac:dyDescent="0.35">
      <c r="A18" s="7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74"/>
      <c r="N18" s="42"/>
    </row>
    <row r="19" spans="1:14" ht="15" thickBot="1" x14ac:dyDescent="0.4">
      <c r="A19" s="7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7"/>
      <c r="N19" s="72"/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Units!$A$2:$A$6</xm:f>
          </x14:formula1>
          <xm:sqref>K2:K500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PICU Infusion Calculator</vt:lpstr>
      <vt:lpstr>Units</vt:lpstr>
      <vt:lpstr>Formulary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Paulo Sta Ana</cp:lastModifiedBy>
  <cp:lastPrinted>2026-03-24T15:57:31Z</cp:lastPrinted>
  <dcterms:created xsi:type="dcterms:W3CDTF">2026-03-23T09:45:16Z</dcterms:created>
  <dcterms:modified xsi:type="dcterms:W3CDTF">2026-03-24T15:58:25Z</dcterms:modified>
</cp:coreProperties>
</file>